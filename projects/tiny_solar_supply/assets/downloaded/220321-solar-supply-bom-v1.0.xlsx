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0497-esp32-thermo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<sst xmlns="http://schemas.openxmlformats.org/spreadsheetml/2006/main" count="67" uniqueCount="63">
  <si>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220321 Solar Supply</t>
  </si>
  <si>
    <t xml:space="preserve">v1.0</t>
  </si>
  <si>
    <t xml:space="preserve">Ref</t>
  </si>
  <si>
    <t xml:space="preserve">Description</t>
  </si>
  <si>
    <t xml:space="preserve">Qnty</t>
  </si>
  <si>
    <t xml:space="preserve">Manufacturer</t>
  </si>
  <si>
    <t xml:space="preserve">Mfr. Reference</t>
  </si>
  <si>
    <t xml:space="preserve">Farnell</t>
  </si>
  <si>
    <t xml:space="preserve">Resistors (0805, 1%, 0.125W)</t>
  </si>
  <si>
    <t xml:space="preserve">R1,R4</t>
  </si>
  <si>
    <t xml:space="preserve">1M</t>
  </si>
  <si>
    <t xml:space="preserve">Walsin</t>
  </si>
  <si>
    <t xml:space="preserve">WR08X1004FTL</t>
  </si>
  <si>
    <t xml:space="preserve">R2</t>
  </si>
  <si>
    <t xml:space="preserve">604k, 1%</t>
  </si>
  <si>
    <t xml:space="preserve">Panasonic</t>
  </si>
  <si>
    <t xml:space="preserve">ERJ6ENF6043V</t>
  </si>
  <si>
    <t xml:space="preserve">R3</t>
  </si>
  <si>
    <t xml:space="preserve">10k</t>
  </si>
  <si>
    <t xml:space="preserve">WR08X1002FTL</t>
  </si>
  <si>
    <t xml:space="preserve">Capacitors</t>
  </si>
  <si>
    <t xml:space="preserve">C1</t>
  </si>
  <si>
    <t xml:space="preserve">4u7, 50V, X7R (0805)</t>
  </si>
  <si>
    <t xml:space="preserve">TDK</t>
  </si>
  <si>
    <t xml:space="preserve">C2012X7R1H475K125AE</t>
  </si>
  <si>
    <t xml:space="preserve">C2</t>
  </si>
  <si>
    <t xml:space="preserve">22u, 10V, X7R (1206)</t>
  </si>
  <si>
    <t xml:space="preserve">Taiyo Yuden</t>
  </si>
  <si>
    <t xml:space="preserve">LMK316AB7226ML-TR</t>
  </si>
  <si>
    <t xml:space="preserve">C3</t>
  </si>
  <si>
    <t xml:space="preserve">10p, 50V, X7R (0805)</t>
  </si>
  <si>
    <t xml:space="preserve">Kemet</t>
  </si>
  <si>
    <t xml:space="preserve">C0805C100K5RACTU</t>
  </si>
  <si>
    <t xml:space="preserve">Inductors</t>
  </si>
  <si>
    <t xml:space="preserve">L1</t>
  </si>
  <si>
    <t xml:space="preserve">10u, 680mA</t>
  </si>
  <si>
    <t xml:space="preserve">Epcos</t>
  </si>
  <si>
    <t xml:space="preserve">B78108S1103K000</t>
  </si>
  <si>
    <t xml:space="preserve">Semiconductors</t>
  </si>
  <si>
    <t xml:space="preserve">D1,D2</t>
  </si>
  <si>
    <t xml:space="preserve">SS14 (DO-214AC)</t>
  </si>
  <si>
    <t xml:space="preserve">Multicomp Pro</t>
  </si>
  <si>
    <t xml:space="preserve">SS14+</t>
  </si>
  <si>
    <t xml:space="preserve">IC1</t>
  </si>
  <si>
    <t xml:space="preserve">AP3015</t>
  </si>
  <si>
    <t xml:space="preserve">Diodes, Inc</t>
  </si>
  <si>
    <t xml:space="preserve">AP3015KTR-G1</t>
  </si>
  <si>
    <t xml:space="preserve">1.2 V, 350 mA</t>
  </si>
  <si>
    <t xml:space="preserve">AP3015A</t>
  </si>
  <si>
    <t xml:space="preserve">AP3015AKTR-G1</t>
  </si>
  <si>
    <t xml:space="preserve">1.0 V, 100 mA</t>
  </si>
  <si>
    <t xml:space="preserve">T1</t>
  </si>
  <si>
    <t xml:space="preserve">2N7002 (SOT-23)</t>
  </si>
  <si>
    <t xml:space="preserve">ON Semiconductor</t>
  </si>
  <si>
    <t xml:space="preserve">2N7002ET1G</t>
  </si>
  <si>
    <t xml:space="preserve">Divers</t>
  </si>
  <si>
    <t xml:space="preserve">K1,K2,K3</t>
  </si>
  <si>
    <t xml:space="preserve">pin header, 1 row, 2 contacts, 2.54mm pitch</t>
  </si>
  <si>
    <t xml:space="preserve">2211S-02G </t>
  </si>
  <si>
    <t xml:space="preserve">K4</t>
  </si>
  <si>
    <t xml:space="preserve">pin header, 1 row, 2 contacts, right-angle, 2mm pitch</t>
  </si>
  <si>
    <t xml:space="preserve">JST</t>
  </si>
  <si>
    <t xml:space="preserve">S2B-PH-K-S (LF)(SN)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</si>
</sst>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6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9" tint="0.5999"/>
        <bgColor rgb="FFCCFFCC"/>
      </patternFill>
    </fill>
    <fill>
      <patternFill patternType="solid">
        <fgColor theme="1" tint="0.4999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2.67"/>
    <col collapsed="false" customWidth="true" hidden="false" outlineLevel="0" max="2" min="2" style="0" width="45.96"/>
    <col collapsed="false" customWidth="true" hidden="false" outlineLevel="0" max="3" min="3" style="0" width="5.75"/>
    <col collapsed="false" customWidth="true" hidden="false" outlineLevel="0" max="4" min="4" style="0" width="16.44"/>
    <col collapsed="false" customWidth="true" hidden="false" outlineLevel="0" max="5" min="5" style="0" width="21.33"/>
    <col collapsed="false" customWidth="true" hidden="false" outlineLevel="0" max="6" min="6" style="0" width="9.36"/>
  </cols>
  <sheetData>
    <row r="1" customFormat="false" ht="19.7" hidden="false" customHeight="false" outlineLevel="0" collapsed="false">
      <c r="A1" s="1" t="s">
        <v>0</v>
      </c>
      <c r="B1" s="1"/>
      <c r="C1" s="0" t="s">
        <v>1</v>
      </c>
    </row>
    <row r="3" customFormat="false" ht="14.2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customFormat="false" ht="14.25" hidden="false" customHeight="false" outlineLevel="0" collapsed="false">
      <c r="A4" s="3" t="s">
        <v>8</v>
      </c>
      <c r="B4" s="4"/>
      <c r="C4" s="4" t="n">
        <f aca="false">SUM(C5:C7)</f>
        <v>4</v>
      </c>
      <c r="D4" s="4"/>
      <c r="E4" s="4"/>
      <c r="F4" s="4"/>
    </row>
    <row r="5" customFormat="false" ht="14.25" hidden="false" customHeight="false" outlineLevel="0" collapsed="false">
      <c r="A5" s="0" t="s">
        <v>9</v>
      </c>
      <c r="B5" s="0" t="s">
        <v>10</v>
      </c>
      <c r="C5" s="0" t="n">
        <v>2</v>
      </c>
      <c r="D5" s="5" t="s">
        <v>11</v>
      </c>
      <c r="E5" s="0" t="s">
        <v>12</v>
      </c>
      <c r="F5" s="0" t="n">
        <v>2230821</v>
      </c>
      <c r="G5" s="5"/>
      <c r="H5" s="6"/>
    </row>
    <row r="6" customFormat="false" ht="14.25" hidden="false" customHeight="false" outlineLevel="0" collapsed="false">
      <c r="A6" s="0" t="s">
        <v>13</v>
      </c>
      <c r="B6" s="0" t="s">
        <v>14</v>
      </c>
      <c r="C6" s="0" t="n">
        <v>1</v>
      </c>
      <c r="D6" s="7" t="s">
        <v>15</v>
      </c>
      <c r="E6" s="8" t="s">
        <v>16</v>
      </c>
      <c r="F6" s="0" t="n">
        <v>2303853</v>
      </c>
      <c r="G6" s="7"/>
      <c r="H6" s="8"/>
      <c r="J6" s="8"/>
      <c r="K6" s="8"/>
    </row>
    <row r="7" customFormat="false" ht="14.25" hidden="false" customHeight="false" outlineLevel="0" collapsed="false">
      <c r="A7" s="0" t="s">
        <v>17</v>
      </c>
      <c r="B7" s="0" t="s">
        <v>18</v>
      </c>
      <c r="C7" s="0" t="n">
        <v>1</v>
      </c>
      <c r="D7" s="5" t="s">
        <v>11</v>
      </c>
      <c r="E7" s="0" t="s">
        <v>19</v>
      </c>
      <c r="F7" s="0" t="n">
        <v>2230562</v>
      </c>
      <c r="G7" s="5"/>
      <c r="H7" s="6"/>
    </row>
    <row r="9" customFormat="false" ht="14.25" hidden="false" customHeight="false" outlineLevel="0" collapsed="false">
      <c r="A9" s="3" t="s">
        <v>20</v>
      </c>
      <c r="B9" s="4"/>
      <c r="C9" s="4" t="n">
        <f aca="false">SUM(C10:C12)</f>
        <v>3</v>
      </c>
      <c r="D9" s="4"/>
      <c r="E9" s="4"/>
      <c r="F9" s="4"/>
    </row>
    <row r="10" customFormat="false" ht="14.25" hidden="false" customHeight="false" outlineLevel="0" collapsed="false">
      <c r="A10" s="0" t="s">
        <v>21</v>
      </c>
      <c r="B10" s="0" t="s">
        <v>22</v>
      </c>
      <c r="C10" s="0" t="n">
        <v>1</v>
      </c>
      <c r="D10" s="7" t="s">
        <v>23</v>
      </c>
      <c r="E10" s="7" t="s">
        <v>24</v>
      </c>
      <c r="F10" s="8" t="n">
        <v>3416186</v>
      </c>
      <c r="G10" s="7"/>
      <c r="H10" s="8"/>
      <c r="J10" s="8"/>
      <c r="K10" s="8"/>
    </row>
    <row r="11" customFormat="false" ht="14.25" hidden="false" customHeight="false" outlineLevel="0" collapsed="false">
      <c r="A11" s="0" t="s">
        <v>25</v>
      </c>
      <c r="B11" s="0" t="s">
        <v>26</v>
      </c>
      <c r="C11" s="0" t="n">
        <v>1</v>
      </c>
      <c r="D11" s="7" t="s">
        <v>27</v>
      </c>
      <c r="E11" s="7" t="s">
        <v>28</v>
      </c>
      <c r="F11" s="8" t="n">
        <v>2112748</v>
      </c>
      <c r="G11" s="7"/>
      <c r="H11" s="8"/>
      <c r="J11" s="8"/>
      <c r="K11" s="8"/>
    </row>
    <row r="12" customFormat="false" ht="14.25" hidden="false" customHeight="false" outlineLevel="0" collapsed="false">
      <c r="A12" s="0" t="s">
        <v>29</v>
      </c>
      <c r="B12" s="0" t="s">
        <v>30</v>
      </c>
      <c r="C12" s="0" t="n">
        <v>1</v>
      </c>
      <c r="D12" s="7" t="s">
        <v>31</v>
      </c>
      <c r="E12" s="7" t="s">
        <v>32</v>
      </c>
      <c r="F12" s="8" t="n">
        <v>2821273</v>
      </c>
      <c r="G12" s="7"/>
      <c r="H12" s="8"/>
      <c r="J12" s="8"/>
      <c r="K12" s="8"/>
    </row>
    <row r="13" customFormat="false" ht="14.25" hidden="false" customHeight="false" outlineLevel="0" collapsed="false">
      <c r="D13" s="7"/>
      <c r="E13" s="7"/>
      <c r="F13" s="8"/>
      <c r="G13" s="7"/>
      <c r="H13" s="8"/>
      <c r="J13" s="8"/>
      <c r="K13" s="8"/>
    </row>
    <row r="14" customFormat="false" ht="14.25" hidden="false" customHeight="false" outlineLevel="0" collapsed="false">
      <c r="A14" s="3" t="s">
        <v>33</v>
      </c>
      <c r="B14" s="4"/>
      <c r="C14" s="4" t="n">
        <f aca="false">SUM(C15)</f>
        <v>1</v>
      </c>
      <c r="D14" s="4"/>
      <c r="E14" s="4"/>
      <c r="F14" s="4"/>
      <c r="G14" s="5"/>
    </row>
    <row r="15" customFormat="false" ht="14.25" hidden="false" customHeight="false" outlineLevel="0" collapsed="false">
      <c r="A15" s="0" t="s">
        <v>34</v>
      </c>
      <c r="B15" s="0" t="s">
        <v>35</v>
      </c>
      <c r="C15" s="0" t="n">
        <v>1</v>
      </c>
      <c r="D15" s="5" t="s">
        <v>36</v>
      </c>
      <c r="E15" s="5" t="s">
        <v>37</v>
      </c>
      <c r="F15" s="8" t="n">
        <v>608488</v>
      </c>
      <c r="G15" s="5"/>
    </row>
    <row r="17" customFormat="false" ht="14.25" hidden="false" customHeight="false" outlineLevel="0" collapsed="false">
      <c r="A17" s="3" t="s">
        <v>38</v>
      </c>
      <c r="B17" s="4"/>
      <c r="C17" s="4" t="n">
        <f aca="false">SUM(C18:C21)</f>
        <v>4</v>
      </c>
      <c r="D17" s="4"/>
      <c r="E17" s="4"/>
      <c r="F17" s="4"/>
    </row>
    <row r="18" customFormat="false" ht="14.25" hidden="false" customHeight="false" outlineLevel="0" collapsed="false">
      <c r="A18" s="0" t="s">
        <v>39</v>
      </c>
      <c r="B18" s="0" t="s">
        <v>40</v>
      </c>
      <c r="C18" s="0" t="n">
        <v>2</v>
      </c>
      <c r="D18" s="7" t="s">
        <v>41</v>
      </c>
      <c r="E18" s="8" t="s">
        <v>42</v>
      </c>
      <c r="F18" s="8" t="n">
        <v>2675133</v>
      </c>
      <c r="G18" s="7"/>
      <c r="H18" s="8"/>
      <c r="J18" s="8"/>
      <c r="K18" s="8"/>
    </row>
    <row r="19" customFormat="false" ht="14.25" hidden="false" customHeight="false" outlineLevel="0" collapsed="false">
      <c r="A19" s="0" t="s">
        <v>43</v>
      </c>
      <c r="B19" s="0" t="s">
        <v>44</v>
      </c>
      <c r="C19" s="0" t="n">
        <v>1</v>
      </c>
      <c r="D19" s="7" t="s">
        <v>45</v>
      </c>
      <c r="E19" s="8" t="s">
        <v>46</v>
      </c>
      <c r="F19" s="8" t="n">
        <v>3482889</v>
      </c>
      <c r="G19" s="7" t="s">
        <v>47</v>
      </c>
      <c r="H19" s="8"/>
      <c r="J19" s="8"/>
      <c r="K19" s="8"/>
    </row>
    <row r="20" customFormat="false" ht="14.25" hidden="false" customHeight="false" outlineLevel="0" collapsed="false">
      <c r="A20" s="9" t="s">
        <v>43</v>
      </c>
      <c r="B20" s="9" t="s">
        <v>48</v>
      </c>
      <c r="C20" s="9" t="n">
        <v>0</v>
      </c>
      <c r="D20" s="10" t="s">
        <v>45</v>
      </c>
      <c r="E20" s="11" t="s">
        <v>49</v>
      </c>
      <c r="F20" s="11" t="n">
        <v>3482888</v>
      </c>
      <c r="G20" s="7" t="s">
        <v>50</v>
      </c>
      <c r="H20" s="8"/>
      <c r="J20" s="8"/>
      <c r="K20" s="8"/>
    </row>
    <row r="21" customFormat="false" ht="14.25" hidden="false" customHeight="false" outlineLevel="0" collapsed="false">
      <c r="A21" s="0" t="s">
        <v>51</v>
      </c>
      <c r="B21" s="0" t="s">
        <v>52</v>
      </c>
      <c r="C21" s="0" t="n">
        <v>1</v>
      </c>
      <c r="D21" s="5" t="s">
        <v>53</v>
      </c>
      <c r="E21" s="0" t="s">
        <v>54</v>
      </c>
      <c r="F21" s="0" t="n">
        <v>6900127</v>
      </c>
      <c r="G21" s="5"/>
    </row>
    <row r="23" customFormat="false" ht="14.25" hidden="false" customHeight="false" outlineLevel="0" collapsed="false">
      <c r="A23" s="3" t="s">
        <v>55</v>
      </c>
      <c r="B23" s="4"/>
      <c r="C23" s="4" t="n">
        <f aca="false">SUM(C24:C25)</f>
        <v>4</v>
      </c>
      <c r="D23" s="4"/>
      <c r="E23" s="4"/>
      <c r="F23" s="4"/>
    </row>
    <row r="24" customFormat="false" ht="14.25" hidden="false" customHeight="false" outlineLevel="0" collapsed="false">
      <c r="A24" s="0" t="s">
        <v>56</v>
      </c>
      <c r="B24" s="0" t="s">
        <v>57</v>
      </c>
      <c r="C24" s="0" t="n">
        <v>3</v>
      </c>
      <c r="D24" s="7" t="s">
        <v>41</v>
      </c>
      <c r="E24" s="12" t="s">
        <v>58</v>
      </c>
      <c r="F24" s="0" t="n">
        <v>1593411</v>
      </c>
    </row>
    <row r="25" customFormat="false" ht="14.25" hidden="false" customHeight="false" outlineLevel="0" collapsed="false">
      <c r="A25" s="0" t="s">
        <v>59</v>
      </c>
      <c r="B25" s="0" t="s">
        <v>60</v>
      </c>
      <c r="C25" s="0" t="n">
        <v>1</v>
      </c>
      <c r="D25" s="0" t="s">
        <v>61</v>
      </c>
      <c r="E25" s="0" t="s">
        <v>62</v>
      </c>
      <c r="F25" s="0" t="n">
        <v>9491902</v>
      </c>
    </row>
    <row r="26" customFormat="false" ht="14.25" hidden="false" customHeight="false" outlineLevel="0" collapsed="false">
      <c r="D26" s="5"/>
    </row>
    <row r="27" customFormat="false" ht="14.25" hidden="false" customHeight="false" outlineLevel="0" collapsed="false">
      <c r="D27" s="7"/>
      <c r="E27" s="7"/>
      <c r="F27" s="8"/>
      <c r="G27" s="7"/>
      <c r="H27" s="8"/>
      <c r="J27" s="8"/>
      <c r="K27" s="8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2021-03-24T14:11:48Z</dcterms:created>
  <dc:creator/>
  <dc:description/>
  <dc:language>en-US</dc:language>
  <cp:lastModifiedBy/>
  <dcterms:modified xsi:type="dcterms:W3CDTF">2025-09-15T01:53:15Z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